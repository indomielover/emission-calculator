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\Personal Project\VBA Training\"/>
    </mc:Choice>
  </mc:AlternateContent>
  <xr:revisionPtr revIDLastSave="0" documentId="13_ncr:1_{9BB73223-F6F8-4675-9D9E-B7D3EFC335F3}" xr6:coauthVersionLast="47" xr6:coauthVersionMax="47" xr10:uidLastSave="{00000000-0000-0000-0000-000000000000}"/>
  <bookViews>
    <workbookView xWindow="-120" yWindow="-120" windowWidth="29040" windowHeight="16440" activeTab="1" xr2:uid="{58BAC4C0-7787-4971-A826-AC5CF5B959AF}"/>
  </bookViews>
  <sheets>
    <sheet name="Types lists" sheetId="3" r:id="rId1"/>
    <sheet name="Calculate Emiss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" l="1"/>
  <c r="D13" i="2"/>
  <c r="K6" i="2"/>
  <c r="J6" i="2"/>
</calcChain>
</file>

<file path=xl/sharedStrings.xml><?xml version="1.0" encoding="utf-8"?>
<sst xmlns="http://schemas.openxmlformats.org/spreadsheetml/2006/main" count="45" uniqueCount="20">
  <si>
    <t>Vehicle Type</t>
  </si>
  <si>
    <t>Fuel Type</t>
  </si>
  <si>
    <t>Distance (km)</t>
  </si>
  <si>
    <r>
      <t>CO</t>
    </r>
    <r>
      <rPr>
        <vertAlign val="sub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(g/km)</t>
    </r>
  </si>
  <si>
    <t>PM (g/km)</t>
  </si>
  <si>
    <t>Car</t>
  </si>
  <si>
    <t>Bus</t>
  </si>
  <si>
    <t>Motorbike</t>
  </si>
  <si>
    <t>Diesel</t>
  </si>
  <si>
    <t>Gasoline</t>
  </si>
  <si>
    <t>PM Emission (g)</t>
  </si>
  <si>
    <t>CO2 Emission (kg)</t>
  </si>
  <si>
    <t>Truck</t>
  </si>
  <si>
    <t>Vehicle Types</t>
  </si>
  <si>
    <t>CNG</t>
  </si>
  <si>
    <t>car</t>
  </si>
  <si>
    <t>bus</t>
  </si>
  <si>
    <t>motorbike</t>
  </si>
  <si>
    <t>truck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</si>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</sst>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19050</xdr:rowOff>
        </xdr:from>
        <xdr:to>
          <xdr:col>7</xdr:col>
          <xdr:colOff>57150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Emissions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8C4B71-CCAB-4C8B-A676-7F23DEEE26A3}" name="Table3" displayName="Table3" ref="A1:A5" totalsRowShown="0">
  <autoFilter ref="A1:A5" xr:uid="{178C4B71-CCAB-4C8B-A676-7F23DEEE26A3}"/>
  <tableColumns count="1">
    <tableColumn id="1" xr3:uid="{12EA38B6-3242-408D-8DD7-3825BECAB5C5}" name="Vehicle Typ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B32B8A-EEC7-4EDE-A7D5-BB4347946C8D}" name="Table5" displayName="Table5" ref="C1:C5" totalsRowShown="0">
  <autoFilter ref="C1:C5" xr:uid="{6DB32B8A-EEC7-4EDE-A7D5-BB4347946C8D}"/>
  <tableColumns count="1">
    <tableColumn id="1" xr3:uid="{CC9C8457-ED60-4ED6-B818-844F36687E4C}" name="Fuel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2FB4AC-B8FC-4257-85CD-97150A00C16A}" name="Table2" displayName="Table2" ref="A1:E13" totalsRowShown="0">
  <autoFilter ref="A1:E13" xr:uid="{6A2FB4AC-B8FC-4257-85CD-97150A00C16A}"/>
  <tableColumns count="5">
    <tableColumn id="1" xr3:uid="{C5326152-534B-46CD-A9E6-00CE9BC214F7}" name="Vehicle Type"/>
    <tableColumn id="2" xr3:uid="{1434A8F9-187D-496B-A076-E547E16FC177}" name="Fuel Type"/>
    <tableColumn id="3" xr3:uid="{7D4896A3-DC33-4022-8B3F-54C38AE434C6}" name="Distance (km)"/>
    <tableColumn id="4" xr3:uid="{075EDDE4-0BF7-4837-8A51-DCF2B44BC337}" name="CO2 (g/km)"/>
    <tableColumn id="5" xr3:uid="{E3AC4961-7A2A-4BC4-8EA5-87798B6D9DCD}" name="PM (g/km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B3C39B-80C7-4BE4-865F-F78F826496D7}" name="EmissionsTable" displayName="EmissionsTable" ref="I1:K6" totalsRowShown="0">
  <autoFilter ref="I1:K6" xr:uid="{59B3C39B-80C7-4BE4-865F-F78F826496D7}"/>
  <tableColumns count="3">
    <tableColumn id="1" xr3:uid="{50229DFF-D51D-4C20-A290-2CD842ED23F0}" name="Vehicle Type"/>
    <tableColumn id="2" xr3:uid="{788942CA-43E3-4A5B-BF9A-DB99FA24344C}" name="CO2 Emission (kg)"/>
    <tableColumn id="3" xr3:uid="{8A4F367D-6D44-4ACA-9E4A-E78C9005C715}" name="PM Emission (g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DF6F9-A92A-4851-A44D-647B302EB2A6}">
  <sheetPr codeName="Sheet1"/>
  <dimension ref="A1:C5"/>
  <sheetViews>
    <sheetView workbookViewId="0">
      <selection activeCell="C4" sqref="C4"/>
    </sheetView>
  </sheetViews>
  <sheetFormatPr defaultRowHeight="15" x14ac:dyDescent="0.25"/>
  <cols>
    <col min="1" max="1" width="15.85546875" bestFit="1" customWidth="1"/>
    <col min="3" max="3" width="11.85546875" bestFit="1" customWidth="1"/>
  </cols>
  <sheetData>
    <row r="1" spans="1:3" x14ac:dyDescent="0.25">
      <c r="A1" t="s">
        <v>13</v>
      </c>
      <c r="C1" t="s">
        <v>1</v>
      </c>
    </row>
    <row r="2" spans="1:3" x14ac:dyDescent="0.25">
      <c r="A2" t="s">
        <v>5</v>
      </c>
      <c r="C2" t="s">
        <v>9</v>
      </c>
    </row>
    <row r="3" spans="1:3" x14ac:dyDescent="0.25">
      <c r="A3" t="s">
        <v>6</v>
      </c>
      <c r="C3" t="s">
        <v>8</v>
      </c>
    </row>
    <row r="4" spans="1:3" x14ac:dyDescent="0.25">
      <c r="A4" t="s">
        <v>7</v>
      </c>
      <c r="C4" t="s">
        <v>14</v>
      </c>
    </row>
    <row r="5" spans="1:3" x14ac:dyDescent="0.25">
      <c r="A5" t="s">
        <v>12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7E70A-4954-436A-A795-E036BB689DDD}">
  <sheetPr codeName="Sheet2"/>
  <dimension ref="A1:K14"/>
  <sheetViews>
    <sheetView tabSelected="1" workbookViewId="0">
      <selection activeCell="H14" sqref="H14"/>
    </sheetView>
  </sheetViews>
  <sheetFormatPr defaultRowHeight="15" x14ac:dyDescent="0.25"/>
  <cols>
    <col min="1" max="1" width="13.7109375" bestFit="1" customWidth="1"/>
    <col min="2" max="2" width="11" bestFit="1" customWidth="1"/>
    <col min="3" max="3" width="14.85546875" bestFit="1" customWidth="1"/>
    <col min="4" max="4" width="11.85546875" bestFit="1" customWidth="1"/>
    <col min="5" max="5" width="11.7109375" bestFit="1" customWidth="1"/>
    <col min="9" max="9" width="14.5703125" customWidth="1"/>
    <col min="10" max="11" width="19.5703125" customWidth="1"/>
    <col min="12" max="12" width="17.42578125" customWidth="1"/>
  </cols>
  <sheetData>
    <row r="1" spans="1:11" ht="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I1" t="s">
        <v>0</v>
      </c>
      <c r="J1" t="s">
        <v>11</v>
      </c>
      <c r="K1" t="s">
        <v>10</v>
      </c>
    </row>
    <row r="2" spans="1:11" x14ac:dyDescent="0.25">
      <c r="A2" t="s">
        <v>5</v>
      </c>
      <c r="B2" t="s">
        <v>9</v>
      </c>
      <c r="C2">
        <v>220</v>
      </c>
      <c r="D2">
        <v>180</v>
      </c>
      <c r="E2">
        <v>0.02</v>
      </c>
      <c r="I2" t="s">
        <v>15</v>
      </c>
      <c r="J2">
        <v>235.8</v>
      </c>
      <c r="K2">
        <v>22.8</v>
      </c>
    </row>
    <row r="3" spans="1:11" x14ac:dyDescent="0.25">
      <c r="A3" t="s">
        <v>6</v>
      </c>
      <c r="B3" t="s">
        <v>8</v>
      </c>
      <c r="C3">
        <v>30</v>
      </c>
      <c r="D3">
        <v>700</v>
      </c>
      <c r="E3">
        <v>0.05</v>
      </c>
      <c r="I3" t="s">
        <v>16</v>
      </c>
      <c r="J3">
        <v>678.2</v>
      </c>
      <c r="K3">
        <v>20.8</v>
      </c>
    </row>
    <row r="4" spans="1:11" x14ac:dyDescent="0.25">
      <c r="A4" t="s">
        <v>7</v>
      </c>
      <c r="B4" t="s">
        <v>9</v>
      </c>
      <c r="C4">
        <v>200</v>
      </c>
      <c r="D4">
        <v>90</v>
      </c>
      <c r="E4">
        <v>1.4999999999999999E-2</v>
      </c>
      <c r="I4" t="s">
        <v>17</v>
      </c>
      <c r="J4">
        <v>21.38</v>
      </c>
      <c r="K4">
        <v>3.22</v>
      </c>
    </row>
    <row r="5" spans="1:11" x14ac:dyDescent="0.25">
      <c r="A5" s="1" t="s">
        <v>5</v>
      </c>
      <c r="B5" s="1" t="s">
        <v>9</v>
      </c>
      <c r="C5" s="1">
        <v>120</v>
      </c>
      <c r="D5" s="1">
        <v>180</v>
      </c>
      <c r="E5" s="1">
        <v>0.01</v>
      </c>
      <c r="I5" t="s">
        <v>18</v>
      </c>
      <c r="J5">
        <v>294</v>
      </c>
      <c r="K5">
        <v>9</v>
      </c>
    </row>
    <row r="6" spans="1:11" x14ac:dyDescent="0.25">
      <c r="A6" s="1" t="s">
        <v>6</v>
      </c>
      <c r="B6" s="1" t="s">
        <v>8</v>
      </c>
      <c r="C6" s="1">
        <v>200</v>
      </c>
      <c r="D6" s="1">
        <v>1020</v>
      </c>
      <c r="E6" s="1">
        <v>0.08</v>
      </c>
      <c r="I6" s="2" t="s">
        <v>19</v>
      </c>
      <c r="J6" s="2">
        <f>SUM(J2:J5)</f>
        <v>1229.3800000000001</v>
      </c>
      <c r="K6" s="2">
        <f>SUM(K2:K5)</f>
        <v>55.82</v>
      </c>
    </row>
    <row r="7" spans="1:11" x14ac:dyDescent="0.25">
      <c r="A7" s="1" t="s">
        <v>7</v>
      </c>
      <c r="B7" s="1" t="s">
        <v>9</v>
      </c>
      <c r="C7" s="1">
        <v>45</v>
      </c>
      <c r="D7" s="1">
        <v>75</v>
      </c>
      <c r="E7" s="1">
        <v>5.0000000000000001E-3</v>
      </c>
    </row>
    <row r="8" spans="1:11" x14ac:dyDescent="0.25">
      <c r="A8" s="1" t="s">
        <v>12</v>
      </c>
      <c r="B8" s="1" t="s">
        <v>14</v>
      </c>
      <c r="C8" s="1">
        <v>200</v>
      </c>
      <c r="D8" s="1">
        <v>980</v>
      </c>
      <c r="E8" s="1">
        <v>0.03</v>
      </c>
    </row>
    <row r="9" spans="1:11" x14ac:dyDescent="0.25">
      <c r="A9" s="1" t="s">
        <v>5</v>
      </c>
      <c r="B9" s="1" t="s">
        <v>8</v>
      </c>
      <c r="C9" s="1">
        <v>560</v>
      </c>
      <c r="D9" s="1">
        <v>210</v>
      </c>
      <c r="E9" s="1">
        <v>0.02</v>
      </c>
    </row>
    <row r="10" spans="1:11" x14ac:dyDescent="0.25">
      <c r="A10" s="1" t="s">
        <v>12</v>
      </c>
      <c r="B10" s="1" t="s">
        <v>8</v>
      </c>
      <c r="C10" s="1">
        <v>100</v>
      </c>
      <c r="D10" s="1">
        <v>980</v>
      </c>
      <c r="E10" s="1">
        <v>0.03</v>
      </c>
    </row>
    <row r="11" spans="1:11" x14ac:dyDescent="0.25">
      <c r="A11" s="1" t="s">
        <v>5</v>
      </c>
      <c r="B11" s="1" t="s">
        <v>9</v>
      </c>
      <c r="C11" s="1">
        <v>300</v>
      </c>
      <c r="D11" s="1">
        <v>190</v>
      </c>
      <c r="E11" s="1">
        <v>0.02</v>
      </c>
    </row>
    <row r="12" spans="1:11" x14ac:dyDescent="0.25">
      <c r="A12" s="1" t="s">
        <v>6</v>
      </c>
      <c r="B12" s="1" t="s">
        <v>14</v>
      </c>
      <c r="C12" s="1">
        <v>220</v>
      </c>
      <c r="D12" s="1">
        <v>2060</v>
      </c>
      <c r="E12" s="1">
        <v>1.4999999999999999E-2</v>
      </c>
    </row>
    <row r="13" spans="1:11" x14ac:dyDescent="0.25">
      <c r="B13" s="2" t="s">
        <v>19</v>
      </c>
      <c r="C13" s="2"/>
      <c r="D13" s="2">
        <f>SUM(D2:D12)</f>
        <v>6665</v>
      </c>
      <c r="E13" s="2">
        <f>SUM(E2:E12)</f>
        <v>0.29500000000000004</v>
      </c>
    </row>
    <row r="14" spans="1:11" x14ac:dyDescent="0.25">
      <c r="B14" s="2"/>
      <c r="C14" s="2"/>
      <c r="D14" s="2"/>
      <c r="E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CopyAndCalculateEmission">
                <anchor moveWithCells="1" sizeWithCells="1">
                  <from>
                    <xdr:col>5</xdr:col>
                    <xdr:colOff>19050</xdr:colOff>
                    <xdr:row>3</xdr:row>
                    <xdr:rowOff>19050</xdr:rowOff>
                  </from>
                  <to>
                    <xdr:col>7</xdr:col>
                    <xdr:colOff>57150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3BE82DE-F908-4DE4-A1D0-6B461B4DC25E}">
          <x14:formula1>
            <xm:f>'Types lists'!$A$2:$A$5</xm:f>
          </x14:formula1>
          <xm:sqref>A2:A1048576</xm:sqref>
        </x14:dataValidation>
        <x14:dataValidation type="list" allowBlank="1" showInputMessage="1" showErrorMessage="1" xr:uid="{267969D6-D5E6-457E-9C39-F71EEDF1D732}">
          <x14:formula1>
            <xm:f>'Types lists'!$C$2:$C$4</xm:f>
          </x14:formula1>
          <xm:sqref>B2:B1048576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Types lists</vt:lpstr>
      <vt:lpstr>Calculate Emission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Abiel Dimyati</dc:creator>
  <cp:lastModifiedBy>Abiel Dimyati</cp:lastModifiedBy>
  <dcterms:created xsi:type="dcterms:W3CDTF">2025-07-11T04:19:22Z</dcterms:created>
  <dcterms:modified xsi:type="dcterms:W3CDTF">2025-07-17T20:13:45Z</dcterms:modified>
</cp:coreProperties>
</file>